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72FBE57-F680-47BE-AC6F-769886B6F937}" xr6:coauthVersionLast="47" xr6:coauthVersionMax="47" xr10:uidLastSave="{00000000-0000-0000-0000-000000000000}"/>
  <bookViews>
    <workbookView xWindow="-110" yWindow="-110" windowWidth="19420" windowHeight="10300" xr2:uid="{EA1549E5-F95B-4626-B273-2F7A2038E8D3}"/>
  </bookViews>
  <sheets>
    <sheet name="DCF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C24" i="2"/>
  <c r="D24" i="2"/>
  <c r="E24" i="2"/>
  <c r="F24" i="2"/>
  <c r="B26" i="2"/>
  <c r="C26" i="2"/>
  <c r="D26" i="2"/>
  <c r="E26" i="2"/>
  <c r="F26" i="2"/>
  <c r="B29" i="2"/>
  <c r="B28" i="2"/>
  <c r="C29" i="2"/>
  <c r="C28" i="2"/>
  <c r="D29" i="2"/>
  <c r="D28" i="2"/>
  <c r="E29" i="2"/>
  <c r="E28" i="2"/>
  <c r="F29" i="2"/>
  <c r="F28" i="2"/>
  <c r="B30" i="2"/>
  <c r="C30" i="2"/>
  <c r="D30" i="2"/>
  <c r="E30" i="2"/>
  <c r="F30" i="2"/>
  <c r="B31" i="2"/>
  <c r="C31" i="2"/>
  <c r="D31" i="2"/>
  <c r="E31" i="2"/>
  <c r="F31" i="2"/>
  <c r="K24" i="2"/>
  <c r="K25" i="2"/>
  <c r="L24" i="2"/>
  <c r="L25" i="2"/>
  <c r="M24" i="2"/>
  <c r="M25" i="2"/>
  <c r="N24" i="2"/>
  <c r="N25" i="2"/>
  <c r="O24" i="2"/>
  <c r="O25" i="2"/>
  <c r="O27" i="2"/>
  <c r="O28" i="2"/>
  <c r="K30" i="2"/>
  <c r="K31" i="2"/>
  <c r="K33" i="2"/>
  <c r="J41" i="2"/>
  <c r="B50" i="2"/>
  <c r="B51" i="2"/>
  <c r="B52" i="2"/>
  <c r="B42" i="2"/>
  <c r="B53" i="2"/>
  <c r="B48" i="2"/>
  <c r="B49" i="2"/>
  <c r="B54" i="2"/>
  <c r="K34" i="2"/>
  <c r="B11" i="2"/>
  <c r="C11" i="2"/>
  <c r="D11" i="2"/>
  <c r="E11" i="2"/>
  <c r="G11" i="2"/>
  <c r="B15" i="2"/>
  <c r="C15" i="2"/>
  <c r="D15" i="2"/>
  <c r="E15" i="2"/>
  <c r="G15" i="2"/>
  <c r="F11" i="2"/>
  <c r="F15" i="2"/>
  <c r="C16" i="2"/>
  <c r="D16" i="2"/>
  <c r="E16" i="2"/>
  <c r="F16" i="2"/>
  <c r="B16" i="2"/>
  <c r="C9" i="2"/>
  <c r="D9" i="2"/>
  <c r="E9" i="2"/>
  <c r="F9" i="2"/>
</calcChain>
</file>

<file path=xl/sharedStrings.xml><?xml version="1.0" encoding="utf-8"?>
<sst xmlns="http://schemas.openxmlformats.org/spreadsheetml/2006/main" count="70" uniqueCount="56">
  <si>
    <t>EBIT</t>
  </si>
  <si>
    <t>Net Income</t>
  </si>
  <si>
    <t>Revenue Growth</t>
  </si>
  <si>
    <t>EBIT Margin</t>
  </si>
  <si>
    <t>Revenue(USD million )</t>
  </si>
  <si>
    <t>Operating Cash Flow</t>
  </si>
  <si>
    <t>Capital Expenditure</t>
  </si>
  <si>
    <t>Free Cash Flow</t>
  </si>
  <si>
    <t>Capex % of Revenue</t>
  </si>
  <si>
    <t>2026E</t>
  </si>
  <si>
    <t>2027E</t>
  </si>
  <si>
    <t>2028E</t>
  </si>
  <si>
    <t>2029E</t>
  </si>
  <si>
    <t>2030E</t>
  </si>
  <si>
    <t>Taxes</t>
  </si>
  <si>
    <t>NOPAT</t>
  </si>
  <si>
    <t>Crocs, Inc.(NasdaqGS:CROX) DCF MODEL</t>
  </si>
  <si>
    <t>Forecast Block</t>
  </si>
  <si>
    <r>
      <t xml:space="preserve">Historical Block </t>
    </r>
    <r>
      <rPr>
        <b/>
        <sz val="16"/>
        <color theme="0"/>
        <rFont val="Aptos Narrow"/>
        <family val="2"/>
        <scheme val="minor"/>
      </rPr>
      <t>(Fiscal year ended in December)</t>
    </r>
  </si>
  <si>
    <t>Average (2021-2024)</t>
  </si>
  <si>
    <t>WACC</t>
  </si>
  <si>
    <t>Risk-free rate</t>
  </si>
  <si>
    <t>Beta(levered)</t>
  </si>
  <si>
    <t>Equity risk premium</t>
  </si>
  <si>
    <t>Cost of equity</t>
  </si>
  <si>
    <t>→ 10y US treasury bond</t>
  </si>
  <si>
    <t xml:space="preserve">                                       WACC</t>
  </si>
  <si>
    <t>Interest Expense (2025)</t>
  </si>
  <si>
    <t>Total Debt(2025)</t>
  </si>
  <si>
    <t>Сash(2025)</t>
  </si>
  <si>
    <t>Market Cap</t>
  </si>
  <si>
    <t>Tax Rate 2025</t>
  </si>
  <si>
    <t>Сost of Debt</t>
  </si>
  <si>
    <t>After-tax Cost of Debt</t>
  </si>
  <si>
    <t>Net Debt</t>
  </si>
  <si>
    <t>Enterprise Value</t>
  </si>
  <si>
    <t>Equity Weight</t>
  </si>
  <si>
    <t>Debt Weight</t>
  </si>
  <si>
    <t>Discount Factor</t>
  </si>
  <si>
    <t>PV of FCF</t>
  </si>
  <si>
    <t>Terminal Growth</t>
  </si>
  <si>
    <t>Teminal Value</t>
  </si>
  <si>
    <t>PV of Terminal Value</t>
  </si>
  <si>
    <t>DCF Calculation</t>
  </si>
  <si>
    <t>Enterprise Value (DCF)</t>
  </si>
  <si>
    <t>Equity Value(DCF)</t>
  </si>
  <si>
    <t>Price Per Share</t>
  </si>
  <si>
    <t>Diluted Shares</t>
  </si>
  <si>
    <t>Upside</t>
  </si>
  <si>
    <t>Sensitivity Analysis</t>
  </si>
  <si>
    <t>Valuation</t>
  </si>
  <si>
    <t>Base Case</t>
  </si>
  <si>
    <t>118$</t>
  </si>
  <si>
    <t>Sensitivity Range</t>
  </si>
  <si>
    <t>106$-128$</t>
  </si>
  <si>
    <t xml:space="preserve">Introduction to Optimization: Example of Sensitivityt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</si>
</sst>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&quot;$&quot;#,##0,,;\(&quot;$&quot;#,##0,,\)"/>
    <numFmt numFmtId="167" formatCode="0.000"/>
    <numFmt numFmtId="168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dotted">
        <color theme="0"/>
      </bottom>
      <diagonal/>
    </border>
    <border>
      <left style="dotted">
        <color theme="1"/>
      </left>
      <right/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 style="dotted">
        <color theme="1"/>
      </right>
      <top style="dotted">
        <color theme="1"/>
      </top>
      <bottom style="dotted">
        <color theme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0" fontId="0" fillId="2" borderId="0" xfId="0" applyFill="1"/>
    <xf numFmtId="0" fontId="5" fillId="0" borderId="0" xfId="0" applyFont="1"/>
    <xf numFmtId="10" fontId="5" fillId="0" borderId="0" xfId="0" applyNumberFormat="1" applyFont="1"/>
    <xf numFmtId="10" fontId="5" fillId="0" borderId="0" xfId="1" applyNumberFormat="1" applyFont="1"/>
    <xf numFmtId="165" fontId="5" fillId="0" borderId="0" xfId="1" applyNumberFormat="1" applyFont="1"/>
    <xf numFmtId="165" fontId="0" fillId="0" borderId="0" xfId="0" applyNumberFormat="1"/>
    <xf numFmtId="0" fontId="0" fillId="4" borderId="0" xfId="0" applyFill="1"/>
    <xf numFmtId="0" fontId="0" fillId="5" borderId="0" xfId="0" applyFill="1"/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3" borderId="0" xfId="0" applyFill="1"/>
    <xf numFmtId="0" fontId="9" fillId="5" borderId="0" xfId="0" applyFont="1" applyFill="1"/>
    <xf numFmtId="0" fontId="3" fillId="6" borderId="0" xfId="0" applyFont="1" applyFill="1"/>
    <xf numFmtId="166" fontId="0" fillId="0" borderId="0" xfId="0" applyNumberFormat="1"/>
    <xf numFmtId="10" fontId="10" fillId="7" borderId="6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7" borderId="6" xfId="0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2" borderId="0" xfId="0" applyFont="1" applyFill="1"/>
    <xf numFmtId="0" fontId="7" fillId="5" borderId="0" xfId="0" applyFont="1" applyFill="1"/>
    <xf numFmtId="10" fontId="3" fillId="6" borderId="0" xfId="0" applyNumberFormat="1" applyFont="1" applyFill="1"/>
    <xf numFmtId="9" fontId="0" fillId="0" borderId="0" xfId="0" applyNumberFormat="1"/>
    <xf numFmtId="167" fontId="0" fillId="0" borderId="0" xfId="0" applyNumberFormat="1"/>
    <xf numFmtId="0" fontId="0" fillId="6" borderId="0" xfId="0" applyFill="1"/>
    <xf numFmtId="10" fontId="0" fillId="6" borderId="0" xfId="1" applyNumberFormat="1" applyFont="1" applyFill="1"/>
    <xf numFmtId="2" fontId="0" fillId="0" borderId="0" xfId="0" applyNumberFormat="1"/>
    <xf numFmtId="168" fontId="0" fillId="0" borderId="0" xfId="0" applyNumberFormat="1"/>
    <xf numFmtId="168" fontId="0" fillId="6" borderId="0" xfId="0" applyNumberFormat="1" applyFill="1"/>
    <xf numFmtId="165" fontId="0" fillId="6" borderId="0" xfId="1" applyNumberFormat="1" applyFont="1" applyFill="1"/>
    <xf numFmtId="10" fontId="0" fillId="0" borderId="0" xfId="0" applyNumberFormat="1" applyAlignment="1">
      <alignment horizontal="left"/>
    </xf>
    <xf numFmtId="0" fontId="0" fillId="0" borderId="0" xfId="0" applyAlignment="1">
      <alignment horizontal="center" vertical="top"/>
    </xf>
    <xf numFmtId="10" fontId="0" fillId="0" borderId="0" xfId="0" applyNumberFormat="1" applyAlignment="1">
      <alignment horizontal="center" vertical="top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82EB-AAD0-4EA7-B0B1-6AA82E158CC9}">
  <dimension ref="A1:P59"/>
  <sheetViews>
    <sheetView tabSelected="1" topLeftCell="A21" zoomScale="54" zoomScaleNormal="93" workbookViewId="0">
      <selection activeCell="G49" sqref="G49"/>
    </sheetView>
  </sheetViews>
  <sheetFormatPr defaultRowHeight="14.5" x14ac:dyDescent="0.35"/>
  <cols>
    <col min="1" max="1" width="23.08984375" customWidth="1"/>
    <col min="2" max="2" width="13" customWidth="1"/>
    <col min="3" max="3" width="11.90625" customWidth="1"/>
    <col min="4" max="4" width="8.90625" customWidth="1"/>
    <col min="5" max="6" width="10.453125" customWidth="1"/>
    <col min="7" max="7" width="23.36328125" customWidth="1"/>
    <col min="8" max="8" width="25.81640625" hidden="1" customWidth="1"/>
    <col min="9" max="9" width="11.7265625" customWidth="1"/>
    <col min="10" max="10" width="22.54296875" customWidth="1"/>
    <col min="11" max="11" width="8.7265625" customWidth="1"/>
    <col min="12" max="14" width="9.90625" bestFit="1" customWidth="1"/>
    <col min="15" max="15" width="8.7265625" customWidth="1"/>
  </cols>
  <sheetData>
    <row r="1" spans="1:10" ht="26" x14ac:dyDescent="0.6">
      <c r="A1" s="25" t="s">
        <v>16</v>
      </c>
      <c r="B1" s="13"/>
      <c r="C1" s="13"/>
      <c r="D1" s="13"/>
      <c r="E1" s="13"/>
      <c r="F1" s="13"/>
      <c r="G1" s="13"/>
      <c r="H1" s="13"/>
      <c r="I1" s="12"/>
      <c r="J1" s="12"/>
    </row>
    <row r="2" spans="1:10" ht="16" x14ac:dyDescent="0.4">
      <c r="A2" s="23" t="s">
        <v>55</v>
      </c>
      <c r="B2" s="16"/>
      <c r="C2" s="16"/>
      <c r="D2" s="16"/>
      <c r="E2" s="16"/>
      <c r="F2" s="16"/>
      <c r="G2" s="41"/>
      <c r="H2" s="42"/>
    </row>
    <row r="3" spans="1:10" x14ac:dyDescent="0.35">
      <c r="A3" s="24"/>
      <c r="B3" s="6"/>
      <c r="C3" s="6"/>
      <c r="D3" s="6"/>
      <c r="E3" s="6"/>
      <c r="F3" s="6"/>
      <c r="G3" s="6"/>
      <c r="H3" s="6"/>
    </row>
    <row r="4" spans="1:10" x14ac:dyDescent="0.35">
      <c r="H4" s="12"/>
    </row>
    <row r="5" spans="1:10" ht="23.5" x14ac:dyDescent="0.55000000000000004">
      <c r="A5" s="17" t="s">
        <v>18</v>
      </c>
      <c r="B5" s="13"/>
      <c r="C5" s="13"/>
      <c r="D5" s="13"/>
      <c r="E5" s="13"/>
      <c r="F5" s="13"/>
      <c r="G5" s="13"/>
      <c r="H5" s="13"/>
    </row>
    <row r="6" spans="1:10" ht="16" x14ac:dyDescent="0.4">
      <c r="A6" s="14"/>
      <c r="B6" s="14">
        <v>2021</v>
      </c>
      <c r="C6" s="14">
        <v>2022</v>
      </c>
      <c r="D6" s="14">
        <v>2023</v>
      </c>
      <c r="E6" s="14">
        <v>2024</v>
      </c>
      <c r="F6" s="14">
        <v>2025</v>
      </c>
      <c r="G6" s="14" t="s">
        <v>19</v>
      </c>
      <c r="H6" s="14"/>
    </row>
    <row r="7" spans="1:10" x14ac:dyDescent="0.35">
      <c r="A7" s="6"/>
      <c r="B7" s="6"/>
      <c r="C7" s="6"/>
      <c r="D7" s="6"/>
      <c r="E7" s="6"/>
      <c r="F7" s="6"/>
      <c r="G7" s="6"/>
      <c r="H7" s="6"/>
    </row>
    <row r="8" spans="1:10" x14ac:dyDescent="0.35">
      <c r="A8" t="s">
        <v>4</v>
      </c>
      <c r="B8" s="2">
        <v>2313.4</v>
      </c>
      <c r="C8" s="2">
        <v>3555</v>
      </c>
      <c r="D8" s="2">
        <v>3962.3</v>
      </c>
      <c r="E8" s="2">
        <v>4102.1000000000004</v>
      </c>
      <c r="F8" s="2">
        <v>4041</v>
      </c>
    </row>
    <row r="9" spans="1:10" x14ac:dyDescent="0.35">
      <c r="A9" s="7" t="s">
        <v>2</v>
      </c>
      <c r="B9" s="8">
        <v>0.66900000000000004</v>
      </c>
      <c r="C9" s="9">
        <f xml:space="preserve"> (C8/B8)-1</f>
        <v>0.53669923056972424</v>
      </c>
      <c r="D9" s="9">
        <f xml:space="preserve"> (D8/C8)-1</f>
        <v>0.11457102672292541</v>
      </c>
      <c r="E9" s="9">
        <f xml:space="preserve"> (E8/D8)-1</f>
        <v>3.5282537919895107E-2</v>
      </c>
      <c r="F9" s="9">
        <f xml:space="preserve"> (F8/E8)-1</f>
        <v>-1.4894809975378509E-2</v>
      </c>
      <c r="H9" s="12"/>
    </row>
    <row r="10" spans="1:10" x14ac:dyDescent="0.35">
      <c r="A10" t="s">
        <v>0</v>
      </c>
      <c r="B10">
        <v>683.4</v>
      </c>
      <c r="C10">
        <v>885.6</v>
      </c>
      <c r="D10">
        <v>1046.5</v>
      </c>
      <c r="E10">
        <v>1047</v>
      </c>
      <c r="F10">
        <v>888.7</v>
      </c>
      <c r="H10" s="12"/>
    </row>
    <row r="11" spans="1:10" x14ac:dyDescent="0.35">
      <c r="A11" s="7" t="s">
        <v>3</v>
      </c>
      <c r="B11" s="10">
        <f>B10/B8</f>
        <v>0.29540935419728537</v>
      </c>
      <c r="C11" s="10">
        <f>C10/C8</f>
        <v>0.24911392405063293</v>
      </c>
      <c r="D11" s="10">
        <f>D10/D8</f>
        <v>0.26411427706130275</v>
      </c>
      <c r="E11" s="10">
        <f>E10/E8</f>
        <v>0.25523512347334287</v>
      </c>
      <c r="F11" s="10">
        <f>F10/F8</f>
        <v>0.21992081168027716</v>
      </c>
      <c r="G11" s="10">
        <f xml:space="preserve"> AVERAGE(B11:E11)</f>
        <v>0.26596816969564097</v>
      </c>
      <c r="H11" s="12"/>
    </row>
    <row r="12" spans="1:10" x14ac:dyDescent="0.35">
      <c r="A12" t="s">
        <v>1</v>
      </c>
      <c r="B12">
        <v>725.7</v>
      </c>
      <c r="C12">
        <v>540.20000000000005</v>
      </c>
      <c r="D12">
        <v>792.6</v>
      </c>
      <c r="E12">
        <v>950.1</v>
      </c>
      <c r="F12">
        <v>-81.2</v>
      </c>
      <c r="H12" s="12"/>
    </row>
    <row r="13" spans="1:10" x14ac:dyDescent="0.35">
      <c r="A13" t="s">
        <v>5</v>
      </c>
      <c r="B13" s="1">
        <v>567.20000000000005</v>
      </c>
      <c r="C13">
        <v>603.1</v>
      </c>
      <c r="D13">
        <v>930.4</v>
      </c>
      <c r="E13">
        <v>992.5</v>
      </c>
      <c r="F13">
        <v>710.4</v>
      </c>
      <c r="H13" s="12"/>
    </row>
    <row r="14" spans="1:10" x14ac:dyDescent="0.35">
      <c r="A14" t="s">
        <v>6</v>
      </c>
      <c r="B14" s="2">
        <v>-55.9</v>
      </c>
      <c r="C14">
        <v>-104.2</v>
      </c>
      <c r="D14">
        <v>-115.6</v>
      </c>
      <c r="E14">
        <v>-69.3</v>
      </c>
      <c r="F14">
        <v>-51.2</v>
      </c>
    </row>
    <row r="15" spans="1:10" x14ac:dyDescent="0.35">
      <c r="A15" s="7" t="s">
        <v>8</v>
      </c>
      <c r="B15" s="4">
        <f xml:space="preserve"> B14/B8</f>
        <v>-2.4163568773234199E-2</v>
      </c>
      <c r="C15" s="4">
        <f xml:space="preserve"> C14/C8</f>
        <v>-2.9310829817158931E-2</v>
      </c>
      <c r="D15" s="4">
        <f xml:space="preserve"> D14/D8</f>
        <v>-2.9174974131186429E-2</v>
      </c>
      <c r="E15" s="4">
        <f xml:space="preserve"> E14/E8</f>
        <v>-1.6893786109553641E-2</v>
      </c>
      <c r="F15" s="4">
        <f xml:space="preserve"> F14/F8</f>
        <v>-1.2670131155654542E-2</v>
      </c>
      <c r="G15" s="11">
        <f xml:space="preserve"> AVERAGE(B15:E15)</f>
        <v>-2.4885789707783299E-2</v>
      </c>
      <c r="H15" s="12"/>
    </row>
    <row r="16" spans="1:10" x14ac:dyDescent="0.35">
      <c r="A16" t="s">
        <v>7</v>
      </c>
      <c r="B16" s="3">
        <f>B13+B14</f>
        <v>511.30000000000007</v>
      </c>
      <c r="C16" s="3">
        <f>C13+C14</f>
        <v>498.90000000000003</v>
      </c>
      <c r="D16" s="3">
        <f>D13+D14</f>
        <v>814.8</v>
      </c>
      <c r="E16" s="3">
        <f>E13+E14</f>
        <v>923.2</v>
      </c>
      <c r="F16" s="3">
        <f>F13+F14</f>
        <v>659.19999999999993</v>
      </c>
      <c r="H16" s="12"/>
    </row>
    <row r="21" spans="1:15" ht="23.5" x14ac:dyDescent="0.55000000000000004">
      <c r="A21" s="17" t="s">
        <v>17</v>
      </c>
      <c r="B21" s="13"/>
      <c r="C21" s="13"/>
      <c r="D21" s="13"/>
      <c r="E21" s="13"/>
      <c r="F21" s="13"/>
      <c r="J21" s="17" t="s">
        <v>43</v>
      </c>
      <c r="K21" s="13"/>
      <c r="L21" s="13"/>
      <c r="M21" s="13"/>
      <c r="N21" s="13"/>
      <c r="O21" s="13"/>
    </row>
    <row r="22" spans="1:15" ht="16" x14ac:dyDescent="0.4">
      <c r="A22" s="14"/>
      <c r="B22" s="15" t="s">
        <v>9</v>
      </c>
      <c r="C22" s="15" t="s">
        <v>10</v>
      </c>
      <c r="D22" s="15" t="s">
        <v>11</v>
      </c>
      <c r="E22" s="15" t="s">
        <v>12</v>
      </c>
      <c r="F22" s="15" t="s">
        <v>13</v>
      </c>
      <c r="J22" s="14"/>
      <c r="K22" s="15" t="s">
        <v>9</v>
      </c>
      <c r="L22" s="15" t="s">
        <v>10</v>
      </c>
      <c r="M22" s="15" t="s">
        <v>11</v>
      </c>
      <c r="N22" s="15" t="s">
        <v>12</v>
      </c>
      <c r="O22" s="15" t="s">
        <v>13</v>
      </c>
    </row>
    <row r="23" spans="1:15" x14ac:dyDescent="0.35">
      <c r="A23" s="6"/>
      <c r="B23" s="6"/>
      <c r="C23" s="6"/>
      <c r="D23" s="6"/>
      <c r="E23" s="6"/>
      <c r="F23" s="6"/>
      <c r="J23" s="6"/>
      <c r="K23" s="6"/>
      <c r="L23" s="6"/>
      <c r="M23" s="6"/>
      <c r="N23" s="6"/>
      <c r="O23" s="6"/>
    </row>
    <row r="24" spans="1:15" x14ac:dyDescent="0.35">
      <c r="A24" t="s">
        <v>4</v>
      </c>
      <c r="B24" s="32">
        <f>F8*1.02</f>
        <v>4121.82</v>
      </c>
      <c r="C24" s="32">
        <f>B24*1.02</f>
        <v>4204.2564000000002</v>
      </c>
      <c r="D24" s="32">
        <f>C24*1.018</f>
        <v>4279.9330152000002</v>
      </c>
      <c r="E24" s="32">
        <f>D24*1.02</f>
        <v>4365.5316755040003</v>
      </c>
      <c r="F24" s="32">
        <f>E24*1.02</f>
        <v>4452.8423090140805</v>
      </c>
      <c r="J24" t="s">
        <v>38</v>
      </c>
      <c r="K24" s="28">
        <f>1/(1+$B$54)^1</f>
        <v>0.90392256916125346</v>
      </c>
      <c r="L24" s="28">
        <f>1/(1+$B$54)^2</f>
        <v>0.81707601103908101</v>
      </c>
      <c r="M24" s="28">
        <f>1/(1+$B$54)^3</f>
        <v>0.73857344709847483</v>
      </c>
      <c r="N24" s="28">
        <f>1/(1+$B$54)^4</f>
        <v>0.66761320781553646</v>
      </c>
      <c r="O24" s="28">
        <f>1/(1+$B$54)^5</f>
        <v>0.60347064601460554</v>
      </c>
    </row>
    <row r="25" spans="1:15" x14ac:dyDescent="0.35">
      <c r="A25" s="7" t="s">
        <v>2</v>
      </c>
      <c r="B25" s="5">
        <v>0.02</v>
      </c>
      <c r="C25" s="5">
        <v>0.02</v>
      </c>
      <c r="D25" s="5">
        <v>1.7999999999999999E-2</v>
      </c>
      <c r="E25" s="5">
        <v>0.02</v>
      </c>
      <c r="F25" s="5">
        <v>0.02</v>
      </c>
      <c r="J25" t="s">
        <v>39</v>
      </c>
      <c r="K25" s="32">
        <f>B31*K24</f>
        <v>616.94966112452755</v>
      </c>
      <c r="L25" s="32">
        <f>C31*L24</f>
        <v>568.8282171813845</v>
      </c>
      <c r="M25" s="32">
        <f>D31*M24</f>
        <v>524.64650588424308</v>
      </c>
      <c r="N25" s="32">
        <f>E31*N24</f>
        <v>482.6046938267952</v>
      </c>
      <c r="O25" s="32">
        <f>F31*O24</f>
        <v>444.96202022786088</v>
      </c>
    </row>
    <row r="26" spans="1:15" x14ac:dyDescent="0.35">
      <c r="A26" t="s">
        <v>0</v>
      </c>
      <c r="B26" s="32">
        <f>F8*26.6%</f>
        <v>1074.9059999999999</v>
      </c>
      <c r="C26" s="32">
        <f>B24*26.6%</f>
        <v>1096.4041199999999</v>
      </c>
      <c r="D26" s="32">
        <f>C24*26.6%</f>
        <v>1118.3322024000001</v>
      </c>
      <c r="E26" s="32">
        <f>D24*26.6%</f>
        <v>1138.4621820432001</v>
      </c>
      <c r="F26" s="32">
        <f>E24*26.6%</f>
        <v>1161.2314256840641</v>
      </c>
      <c r="J26" t="s">
        <v>40</v>
      </c>
      <c r="K26" s="5">
        <v>1.2500000000000001E-2</v>
      </c>
      <c r="L26" s="5"/>
      <c r="M26" s="5"/>
      <c r="N26" s="5"/>
      <c r="O26" s="5"/>
    </row>
    <row r="27" spans="1:15" x14ac:dyDescent="0.35">
      <c r="A27" s="7" t="s">
        <v>3</v>
      </c>
      <c r="B27" s="10">
        <v>0.23499999999999999</v>
      </c>
      <c r="C27" s="10">
        <v>0.23499999999999999</v>
      </c>
      <c r="D27" s="10">
        <v>0.23499999999999999</v>
      </c>
      <c r="E27" s="10">
        <v>0.23499999999999999</v>
      </c>
      <c r="F27" s="10">
        <v>0.23499999999999999</v>
      </c>
      <c r="J27" t="s">
        <v>41</v>
      </c>
      <c r="O27" s="32">
        <f>F31*(1+K26)/(B54-K26)</f>
        <v>7959.9042887835158</v>
      </c>
    </row>
    <row r="28" spans="1:15" x14ac:dyDescent="0.35">
      <c r="A28" s="1" t="s">
        <v>15</v>
      </c>
      <c r="B28" s="31">
        <f>B26-B29</f>
        <v>806.17949999999996</v>
      </c>
      <c r="C28" s="31">
        <f>C26-C29</f>
        <v>822.30308999999988</v>
      </c>
      <c r="D28" s="31">
        <f>D26-D29</f>
        <v>838.74915180000016</v>
      </c>
      <c r="E28" s="31">
        <f>E26-E29</f>
        <v>853.8466365324</v>
      </c>
      <c r="F28" s="31">
        <f>F26-F29</f>
        <v>870.92356926304808</v>
      </c>
      <c r="J28" t="s">
        <v>42</v>
      </c>
      <c r="O28">
        <f>O27/(1+B54)^5</f>
        <v>4803.5685833666175</v>
      </c>
    </row>
    <row r="29" spans="1:15" x14ac:dyDescent="0.35">
      <c r="A29" t="s">
        <v>14</v>
      </c>
      <c r="B29" s="31">
        <f>B26*25%</f>
        <v>268.72649999999999</v>
      </c>
      <c r="C29" s="31">
        <f>C26*25%</f>
        <v>274.10102999999998</v>
      </c>
      <c r="D29" s="31">
        <f>D26*25%</f>
        <v>279.58305060000004</v>
      </c>
      <c r="E29" s="31">
        <f>E26*25%</f>
        <v>284.61554551080002</v>
      </c>
      <c r="F29" s="31">
        <f>F26*25%</f>
        <v>290.30785642101603</v>
      </c>
      <c r="J29" s="6"/>
      <c r="K29" s="6"/>
      <c r="L29" s="6"/>
      <c r="M29" s="6"/>
      <c r="N29" s="6"/>
      <c r="O29" s="6"/>
    </row>
    <row r="30" spans="1:15" x14ac:dyDescent="0.35">
      <c r="A30" t="s">
        <v>6</v>
      </c>
      <c r="B30" s="31">
        <f>B24*(-3%)</f>
        <v>-123.65459999999999</v>
      </c>
      <c r="C30" s="31">
        <f>C24*(-3%)</f>
        <v>-126.127692</v>
      </c>
      <c r="D30" s="31">
        <f>D24*(-3%)</f>
        <v>-128.397990456</v>
      </c>
      <c r="E30" s="31">
        <f>E24*(-3%)</f>
        <v>-130.96595026512</v>
      </c>
      <c r="F30" s="31">
        <f>F24*(-3%)</f>
        <v>-133.5852692704224</v>
      </c>
      <c r="J30" t="s">
        <v>44</v>
      </c>
      <c r="K30" s="32">
        <f xml:space="preserve"> SUM(K25:O25) + O28</f>
        <v>7441.5596816114285</v>
      </c>
    </row>
    <row r="31" spans="1:15" x14ac:dyDescent="0.35">
      <c r="A31" s="18" t="s">
        <v>7</v>
      </c>
      <c r="B31" s="31">
        <f>B28+B30</f>
        <v>682.5249</v>
      </c>
      <c r="C31" s="31">
        <f>C28+C30</f>
        <v>696.17539799999986</v>
      </c>
      <c r="D31" s="31">
        <f>D28+D30</f>
        <v>710.35116134400016</v>
      </c>
      <c r="E31" s="31">
        <f>E28+E30</f>
        <v>722.88068626728</v>
      </c>
      <c r="F31" s="31">
        <f>F28+F30</f>
        <v>737.33829999262571</v>
      </c>
      <c r="J31" t="s">
        <v>45</v>
      </c>
      <c r="K31" s="32">
        <f>K30-B50</f>
        <v>5958.1596816114288</v>
      </c>
    </row>
    <row r="32" spans="1:15" x14ac:dyDescent="0.35">
      <c r="J32" t="s">
        <v>47</v>
      </c>
      <c r="K32">
        <v>50.2</v>
      </c>
    </row>
    <row r="33" spans="1:16" x14ac:dyDescent="0.35">
      <c r="J33" s="29" t="s">
        <v>46</v>
      </c>
      <c r="K33" s="33">
        <f>K31/K32</f>
        <v>118.68843987273762</v>
      </c>
    </row>
    <row r="34" spans="1:16" x14ac:dyDescent="0.35">
      <c r="J34" s="29" t="s">
        <v>48</v>
      </c>
      <c r="K34" s="34">
        <f>(K33-86.85)/86.85</f>
        <v>0.36659113267400834</v>
      </c>
    </row>
    <row r="38" spans="1:16" ht="23.5" x14ac:dyDescent="0.55000000000000004">
      <c r="A38" s="43" t="s">
        <v>26</v>
      </c>
      <c r="B38" s="44"/>
      <c r="C38" s="45"/>
      <c r="D38" s="38"/>
      <c r="E38" s="39"/>
      <c r="F38" s="40"/>
      <c r="J38" s="17" t="s">
        <v>49</v>
      </c>
      <c r="K38" s="13"/>
      <c r="L38" s="13"/>
      <c r="M38" s="13"/>
      <c r="N38" s="13"/>
      <c r="O38" s="13"/>
      <c r="P38" s="13"/>
    </row>
    <row r="39" spans="1:16" ht="16" x14ac:dyDescent="0.4">
      <c r="A39" t="s">
        <v>21</v>
      </c>
      <c r="B39" s="5">
        <v>4.061E-2</v>
      </c>
      <c r="D39" t="s">
        <v>25</v>
      </c>
      <c r="J39" s="14"/>
      <c r="K39" s="15"/>
      <c r="L39" s="15"/>
      <c r="M39" s="15"/>
      <c r="N39" s="15"/>
      <c r="O39" s="15"/>
      <c r="P39" s="15"/>
    </row>
    <row r="40" spans="1:16" x14ac:dyDescent="0.35">
      <c r="A40" t="s">
        <v>22</v>
      </c>
      <c r="B40">
        <v>1.55</v>
      </c>
      <c r="J40" s="6"/>
      <c r="K40" s="6"/>
      <c r="L40" s="6"/>
      <c r="M40" s="6"/>
      <c r="N40" s="6"/>
      <c r="O40" s="6"/>
      <c r="P40" s="6"/>
    </row>
    <row r="41" spans="1:16" x14ac:dyDescent="0.35">
      <c r="A41" t="s">
        <v>23</v>
      </c>
      <c r="B41" s="5">
        <v>5.5E-2</v>
      </c>
      <c r="J41" s="32">
        <f>K33</f>
        <v>118.68843987273762</v>
      </c>
      <c r="K41" s="5">
        <v>0.01</v>
      </c>
      <c r="L41" s="5">
        <v>1.2500000000000001E-2</v>
      </c>
      <c r="M41" s="5">
        <v>1.4999999999999999E-2</v>
      </c>
      <c r="N41" s="5">
        <v>1.7500000000000002E-2</v>
      </c>
      <c r="O41" s="5">
        <v>0.02</v>
      </c>
    </row>
    <row r="42" spans="1:16" x14ac:dyDescent="0.35">
      <c r="A42" s="18" t="s">
        <v>24</v>
      </c>
      <c r="B42" s="26">
        <f>B39 + B40*B41</f>
        <v>0.12586</v>
      </c>
      <c r="I42" s="5"/>
      <c r="J42" s="5">
        <v>9.5000000000000001E-2</v>
      </c>
      <c r="K42" s="31">
        <f t="dataTable" ref="K42:P46" dt2D="1" dtr="1" r1="K26" r2="B54"/>
        <v>135.42218964101147</v>
      </c>
      <c r="L42" s="31">
        <v>139.06447303560279</v>
      </c>
      <c r="M42" s="31">
        <v>142.93439914235609</v>
      </c>
      <c r="N42" s="31">
        <v>147.05399790115794</v>
      </c>
      <c r="O42" s="31">
        <v>151.44823657721329</v>
      </c>
      <c r="P42" s="31">
        <v>122.77004732295745</v>
      </c>
    </row>
    <row r="43" spans="1:16" x14ac:dyDescent="0.35">
      <c r="A43" t="s">
        <v>27</v>
      </c>
      <c r="B43">
        <v>88.3</v>
      </c>
      <c r="J43" s="5">
        <v>0.1</v>
      </c>
      <c r="K43" s="31">
        <v>126.20621502680648</v>
      </c>
      <c r="L43" s="31">
        <v>129.39101221931247</v>
      </c>
      <c r="M43" s="31">
        <v>132.76315042314229</v>
      </c>
      <c r="N43" s="31">
        <v>136.3396606393255</v>
      </c>
      <c r="O43" s="31">
        <v>140.13970274402013</v>
      </c>
      <c r="P43" s="31">
        <v>115.05942485303557</v>
      </c>
    </row>
    <row r="44" spans="1:16" x14ac:dyDescent="0.35">
      <c r="A44" t="s">
        <v>28</v>
      </c>
      <c r="B44">
        <v>1613.8</v>
      </c>
      <c r="J44" s="5">
        <v>0.105</v>
      </c>
      <c r="K44" s="31">
        <v>117.96119154426486</v>
      </c>
      <c r="L44" s="31">
        <v>120.76396912356205</v>
      </c>
      <c r="M44" s="31">
        <v>123.72245656837578</v>
      </c>
      <c r="N44" s="31">
        <v>126.85000043860741</v>
      </c>
      <c r="O44" s="31">
        <v>130.16151747767623</v>
      </c>
      <c r="P44" s="31">
        <v>108.08473721721757</v>
      </c>
    </row>
    <row r="45" spans="1:16" x14ac:dyDescent="0.35">
      <c r="A45" t="s">
        <v>29</v>
      </c>
      <c r="B45">
        <v>130.4</v>
      </c>
      <c r="J45" s="5">
        <v>0.11</v>
      </c>
      <c r="K45" s="31">
        <v>110.54145776094853</v>
      </c>
      <c r="L45" s="31">
        <v>113.02234230803485</v>
      </c>
      <c r="M45" s="31">
        <v>115.63379972602047</v>
      </c>
      <c r="N45" s="31">
        <v>118.38641700443773</v>
      </c>
      <c r="O45" s="31">
        <v>121.29195746498928</v>
      </c>
      <c r="P45" s="31">
        <v>101.7455943667334</v>
      </c>
    </row>
    <row r="46" spans="1:16" x14ac:dyDescent="0.35">
      <c r="A46" t="s">
        <v>30</v>
      </c>
      <c r="B46">
        <v>4946</v>
      </c>
      <c r="J46" s="5">
        <v>0.20499999999999999</v>
      </c>
      <c r="K46" s="31">
        <v>41.927059802949266</v>
      </c>
      <c r="L46" s="31">
        <v>42.391029430864975</v>
      </c>
      <c r="M46" s="31">
        <v>42.867208785831103</v>
      </c>
      <c r="N46" s="31">
        <v>43.356086256929672</v>
      </c>
      <c r="O46" s="31">
        <v>43.858176632652516</v>
      </c>
      <c r="P46" s="31">
        <v>40.184344615168278</v>
      </c>
    </row>
    <row r="47" spans="1:16" x14ac:dyDescent="0.35">
      <c r="A47" t="s">
        <v>31</v>
      </c>
      <c r="B47" s="27">
        <v>0.25</v>
      </c>
      <c r="J47" s="5"/>
    </row>
    <row r="48" spans="1:16" x14ac:dyDescent="0.35">
      <c r="A48" t="s">
        <v>32</v>
      </c>
      <c r="B48" s="4">
        <f>B43/B44</f>
        <v>5.471557813855496E-2</v>
      </c>
    </row>
    <row r="49" spans="1:15" ht="23.5" x14ac:dyDescent="0.55000000000000004">
      <c r="A49" t="s">
        <v>33</v>
      </c>
      <c r="B49" s="5">
        <f>B48*(1-B47)</f>
        <v>4.103668360391622E-2</v>
      </c>
      <c r="J49" s="17" t="s">
        <v>50</v>
      </c>
      <c r="K49" s="13"/>
      <c r="L49" s="13"/>
      <c r="M49" s="13"/>
      <c r="N49" s="13"/>
      <c r="O49" s="13"/>
    </row>
    <row r="50" spans="1:15" ht="16" x14ac:dyDescent="0.4">
      <c r="A50" t="s">
        <v>34</v>
      </c>
      <c r="B50">
        <f>B44-B45</f>
        <v>1483.3999999999999</v>
      </c>
      <c r="J50" s="14"/>
      <c r="K50" s="15"/>
      <c r="L50" s="15"/>
      <c r="M50" s="15"/>
      <c r="N50" s="15"/>
      <c r="O50" s="15"/>
    </row>
    <row r="51" spans="1:15" x14ac:dyDescent="0.35">
      <c r="A51" t="s">
        <v>35</v>
      </c>
      <c r="B51">
        <f>B46+B50</f>
        <v>6429.4</v>
      </c>
      <c r="J51" s="6"/>
      <c r="K51" s="6"/>
      <c r="L51" s="6"/>
      <c r="M51" s="6"/>
      <c r="N51" s="6"/>
      <c r="O51" s="6"/>
    </row>
    <row r="52" spans="1:15" x14ac:dyDescent="0.35">
      <c r="A52" t="s">
        <v>36</v>
      </c>
      <c r="B52" s="28">
        <f xml:space="preserve"> B46/B51</f>
        <v>0.76927862631038668</v>
      </c>
      <c r="J52" s="27" t="s">
        <v>51</v>
      </c>
      <c r="K52" s="36" t="s">
        <v>52</v>
      </c>
    </row>
    <row r="53" spans="1:15" x14ac:dyDescent="0.35">
      <c r="A53" t="s">
        <v>37</v>
      </c>
      <c r="B53" s="28">
        <f>B50/B51</f>
        <v>0.23072137368961332</v>
      </c>
      <c r="J53" s="5" t="s">
        <v>48</v>
      </c>
      <c r="K53" s="37">
        <v>0.36699999999999999</v>
      </c>
    </row>
    <row r="54" spans="1:15" x14ac:dyDescent="0.35">
      <c r="A54" s="29" t="s">
        <v>20</v>
      </c>
      <c r="B54" s="30">
        <f>B52*B42+B53*B49</f>
        <v>0.10628944792018685</v>
      </c>
      <c r="J54" t="s">
        <v>53</v>
      </c>
      <c r="K54" s="36" t="s">
        <v>54</v>
      </c>
    </row>
    <row r="55" spans="1:15" x14ac:dyDescent="0.35">
      <c r="A55" s="21"/>
      <c r="B55" s="35"/>
      <c r="C55" s="19"/>
      <c r="J55" t="s">
        <v>40</v>
      </c>
      <c r="K55" s="37">
        <v>1.2500000000000001E-2</v>
      </c>
    </row>
    <row r="56" spans="1:15" x14ac:dyDescent="0.35">
      <c r="A56" s="21"/>
      <c r="B56" s="21"/>
      <c r="C56" s="19"/>
      <c r="J56" s="21" t="s">
        <v>20</v>
      </c>
      <c r="K56" s="37">
        <v>0.10630000000000001</v>
      </c>
    </row>
    <row r="57" spans="1:15" ht="16" x14ac:dyDescent="0.4">
      <c r="A57" s="22"/>
      <c r="B57" s="22"/>
      <c r="C57" s="20"/>
      <c r="J57" s="5"/>
    </row>
    <row r="58" spans="1:15" x14ac:dyDescent="0.35">
      <c r="J58" s="5"/>
    </row>
    <row r="59" spans="1:15" x14ac:dyDescent="0.35">
      <c r="J59" s="5"/>
    </row>
  </sheetData>
  <mergeCells count="3">
    <mergeCell ref="D38:F38"/>
    <mergeCell ref="G2:H2"/>
    <mergeCell ref="A38:C3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9DC919-F75D-4D44-A698-0AFBBD4A3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Aiana Dzhekshenova</dc:creator>
  <cp:lastModifiedBy>Aiana Dzhekshenova</cp:lastModifiedBy>
  <cp:lastPrinted>2026-03-03T15:18:31Z</cp:lastPrinted>
  <dcterms:created xsi:type="dcterms:W3CDTF">2026-03-02T10:18:33Z</dcterms:created>
  <dcterms:modified xsi:type="dcterms:W3CDTF">2026-03-18T13:44:27Z</dcterms:modified>
</cp:coreProperties>
</file>